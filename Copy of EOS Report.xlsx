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PvP-Pc\Desktop\Adaptive_Workforce_AI\"/>
    </mc:Choice>
  </mc:AlternateContent>
  <xr:revisionPtr revIDLastSave="0" documentId="13_ncr:1_{942E470E-EE17-46A1-97DC-37467055D238}" xr6:coauthVersionLast="47" xr6:coauthVersionMax="47" xr10:uidLastSave="{00000000-0000-0000-0000-000000000000}"/>
  <bookViews>
    <workbookView xWindow="28680" yWindow="-120" windowWidth="29040" windowHeight="15720" firstSheet="3" activeTab="3" xr2:uid="{00000000-000D-0000-FFFF-FFFF00000000}"/>
  </bookViews>
  <sheets>
    <sheet name="نموذج يدوي" sheetId="1" state="hidden" r:id="rId1"/>
    <sheet name="نهاية الخدمة" sheetId="2" state="hidden" r:id="rId2"/>
    <sheet name="EOS C" sheetId="4" state="hidden" r:id="rId3"/>
    <sheet name="New" sheetId="7" r:id="rId4"/>
    <sheet name="Sheet1" sheetId="6" state="hidden" r:id="rId5"/>
    <sheet name="Gosi" sheetId="5" state="hidden" r:id="rId6"/>
    <sheet name="Sheet3" sheetId="3" state="hidden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1" i="7" l="1"/>
  <c r="D15" i="7"/>
  <c r="F15" i="7" s="1"/>
  <c r="I15" i="7" s="1"/>
  <c r="I14" i="7" s="1"/>
  <c r="E19" i="7"/>
  <c r="D15" i="4"/>
  <c r="G15" i="4" s="1"/>
  <c r="C6" i="5"/>
  <c r="B6" i="5"/>
  <c r="A12" i="5" s="1"/>
  <c r="B12" i="5" s="1"/>
  <c r="D12" i="5" s="1"/>
  <c r="D19" i="4"/>
  <c r="F22" i="2"/>
  <c r="C17" i="2"/>
  <c r="D20" i="7" l="1"/>
  <c r="G24" i="7" s="1"/>
  <c r="I13" i="7"/>
  <c r="D20" i="4"/>
  <c r="G14" i="4" s="1"/>
  <c r="F20" i="4"/>
  <c r="G13" i="4"/>
  <c r="E6" i="5"/>
  <c r="C21" i="2"/>
  <c r="E17" i="2"/>
  <c r="C17" i="1"/>
  <c r="D21" i="4" l="1"/>
  <c r="E20" i="4"/>
  <c r="E23" i="2"/>
  <c r="F23" i="2" l="1"/>
  <c r="E24" i="2"/>
  <c r="C22" i="1"/>
  <c r="C21" i="1"/>
  <c r="F22" i="1" s="1"/>
  <c r="F24" i="1" l="1"/>
  <c r="F17" i="1"/>
  <c r="F23" i="1" s="1"/>
</calcChain>
</file>

<file path=xl/sharedStrings.xml><?xml version="1.0" encoding="utf-8"?>
<sst xmlns="http://schemas.openxmlformats.org/spreadsheetml/2006/main" count="156" uniqueCount="63">
  <si>
    <t>Employee details</t>
  </si>
  <si>
    <t xml:space="preserve">Employee Id </t>
  </si>
  <si>
    <t>-</t>
  </si>
  <si>
    <t>Name</t>
  </si>
  <si>
    <t>Amal issa Alshamry</t>
  </si>
  <si>
    <t>Date of joining</t>
  </si>
  <si>
    <t>Grade</t>
  </si>
  <si>
    <t>J1-SA-003</t>
  </si>
  <si>
    <t xml:space="preserve">Position </t>
  </si>
  <si>
    <t>Call Center</t>
  </si>
  <si>
    <t>Account number</t>
  </si>
  <si>
    <t xml:space="preserve">Job </t>
  </si>
  <si>
    <t>Iqama/ID number</t>
  </si>
  <si>
    <t xml:space="preserve">Department </t>
  </si>
  <si>
    <t>Call Center Agent</t>
  </si>
  <si>
    <t xml:space="preserve">Phone </t>
  </si>
  <si>
    <t>Nationality</t>
  </si>
  <si>
    <t>SAU</t>
  </si>
  <si>
    <t>Total salary</t>
  </si>
  <si>
    <t>Last working day</t>
  </si>
  <si>
    <t>Leave balance</t>
  </si>
  <si>
    <t>Total working days</t>
  </si>
  <si>
    <t/>
  </si>
  <si>
    <t>Salary information</t>
  </si>
  <si>
    <t>salary</t>
  </si>
  <si>
    <t>Leave</t>
  </si>
  <si>
    <t>Total</t>
  </si>
  <si>
    <t>Payroll approval</t>
  </si>
  <si>
    <t>Employee approval</t>
  </si>
  <si>
    <t>HR director approval</t>
  </si>
  <si>
    <t>Name:</t>
  </si>
  <si>
    <t xml:space="preserve">Name : </t>
  </si>
  <si>
    <t xml:space="preserve">Date : </t>
  </si>
  <si>
    <t>Date :</t>
  </si>
  <si>
    <t>Signature :</t>
  </si>
  <si>
    <t>ثلث المكافاة</t>
  </si>
  <si>
    <t>ثلثي المكافاة</t>
  </si>
  <si>
    <t>دون مكافاة</t>
  </si>
  <si>
    <t>Resignation</t>
  </si>
  <si>
    <t>EndOfContract</t>
  </si>
  <si>
    <t>Termination (80)</t>
  </si>
  <si>
    <t>كامل المكافاة</t>
  </si>
  <si>
    <t>Yers</t>
  </si>
  <si>
    <t>Total EOS</t>
  </si>
  <si>
    <t>&gt; 10</t>
  </si>
  <si>
    <t>Type</t>
  </si>
  <si>
    <t>Details</t>
  </si>
  <si>
    <t>Gosi Amount</t>
  </si>
  <si>
    <t>Bisc</t>
  </si>
  <si>
    <t>Hosing</t>
  </si>
  <si>
    <t xml:space="preserve">Net </t>
  </si>
  <si>
    <t>Days</t>
  </si>
  <si>
    <t>Gosi Subscription fee</t>
  </si>
  <si>
    <t>GOSI Amount</t>
  </si>
  <si>
    <t xml:space="preserve">Transportation </t>
  </si>
  <si>
    <t xml:space="preserve">Salary details </t>
  </si>
  <si>
    <t>Mobile</t>
  </si>
  <si>
    <t>Net</t>
  </si>
  <si>
    <t>Payroll sheet EOS SETTLEMENT</t>
  </si>
  <si>
    <r>
      <t xml:space="preserve">Payroll sheet </t>
    </r>
    <r>
      <rPr>
        <b/>
        <u/>
        <sz val="12"/>
        <color theme="9" tint="-0.499984740745262"/>
        <rFont val="Calibri"/>
        <family val="2"/>
        <scheme val="minor"/>
      </rPr>
      <t>EOS SETTLEMENT</t>
    </r>
  </si>
  <si>
    <t>Calculating the number of days</t>
  </si>
  <si>
    <t>End Of Contract</t>
  </si>
  <si>
    <t>حاسبة حسب عادة السنوات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</si>
</sst>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[$-10409]dd/mm/yyyy"/>
    <numFmt numFmtId="166" formatCode="[$-10409]#,##0.00;\(#,##0.00\)"/>
    <numFmt numFmtId="167" formatCode="[$-10409]#,##0.00;\-#,##0.00"/>
    <numFmt numFmtId="168" formatCode="[$-10409]#,##0;\(#,##0\)"/>
    <numFmt numFmtId="169" formatCode="0.0"/>
    <numFmt numFmtId="170" formatCode="#,##0.000000000000_ ;\-#,##0.000000000000\ "/>
    <numFmt numFmtId="171" formatCode="#,##0.00000000000_ ;\-#,##0.00000000000\ 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</font>
    <font>
      <b/>
      <sz val="11"/>
      <color rgb="FF000000"/>
      <name val="Segoe UI"/>
      <family val="2"/>
    </font>
    <font>
      <b/>
      <sz val="11"/>
      <color rgb="FFFF0000"/>
      <name val="Segoe UI"/>
      <family val="2"/>
    </font>
    <font>
      <sz val="11"/>
      <color rgb="FFFF0000"/>
      <name val="Calibri"/>
      <family val="2"/>
    </font>
    <font>
      <b/>
      <sz val="8"/>
      <color rgb="FF000000"/>
      <name val="Segoe UI"/>
      <family val="2"/>
    </font>
    <font>
      <b/>
      <sz val="8"/>
      <color rgb="FFFF0000"/>
      <name val="Segoe UI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</font>
    <font>
      <u/>
      <sz val="11"/>
      <name val="Calibri"/>
      <family val="2"/>
    </font>
    <font>
      <sz val="11"/>
      <color theme="1"/>
      <name val="Calibri"/>
      <family val="2"/>
    </font>
    <font>
      <u/>
      <sz val="14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1"/>
      <color theme="1"/>
      <name val="Calibri"/>
      <family val="2"/>
      <charset val="178"/>
      <scheme val="minor"/>
    </font>
    <font>
      <b/>
      <u/>
      <sz val="12"/>
      <color theme="9" tint="-0.499984740745262"/>
      <name val="Calibri"/>
      <family val="2"/>
      <scheme val="minor"/>
    </font>
    <font>
      <sz val="21"/>
      <color rgb="FFE8EAED"/>
      <name val="Inherit"/>
    </font>
    <font>
      <b/>
      <u/>
      <sz val="11"/>
      <color theme="1"/>
      <name val="Calibri"/>
      <family val="2"/>
      <charset val="178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 tint="4.9989318521683403E-2"/>
      <name val="Calibri"/>
      <family val="2"/>
      <scheme val="minor"/>
    </font>
    <font>
      <b/>
      <sz val="11"/>
      <color theme="1"/>
      <name val="Calibri"/>
      <family val="2"/>
      <charset val="178"/>
    </font>
    <font>
      <sz val="11"/>
      <color theme="1"/>
      <name val="Calibri"/>
      <family val="2"/>
      <charset val="178"/>
    </font>
    <font>
      <sz val="11"/>
      <name val="Calibri"/>
      <family val="2"/>
      <charset val="178"/>
    </font>
    <font>
      <sz val="9"/>
      <color rgb="FF000000"/>
      <name val="Arial"/>
      <family val="2"/>
      <charset val="178"/>
    </font>
  </fonts>
  <fills count="16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rgb="FFDCDCDC"/>
        <bgColor rgb="FFDCDCDC"/>
      </patternFill>
    </fill>
    <fill>
      <patternFill patternType="solid">
        <fgColor rgb="FFCCFFCC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42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164" fontId="11" fillId="0" borderId="0" applyFont="0" applyFill="0" applyBorder="0" applyAlignment="0" applyProtection="0"/>
    <xf numFmtId="0" fontId="1" fillId="13" borderId="0" applyNumberFormat="0" applyBorder="0" applyAlignment="0" applyProtection="0"/>
  </cellStyleXfs>
  <cellXfs count="144">
    <xf numFmtId="0" fontId="0" fillId="0" borderId="0" xfId="0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top" wrapText="1" readingOrder="1"/>
    </xf>
    <xf numFmtId="0" fontId="5" fillId="0" borderId="0" xfId="0" applyFont="1" applyAlignment="1">
      <alignment horizontal="center" vertical="top" wrapText="1" readingOrder="1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 vertical="top" wrapText="1" readingOrder="1"/>
    </xf>
    <xf numFmtId="0" fontId="8" fillId="0" borderId="0" xfId="0" applyFont="1" applyAlignment="1">
      <alignment horizontal="center" vertical="top" wrapText="1" readingOrder="1"/>
    </xf>
    <xf numFmtId="0" fontId="3" fillId="0" borderId="1" xfId="0" applyFont="1" applyBorder="1" applyAlignment="1">
      <alignment horizontal="center" vertical="top" wrapText="1"/>
    </xf>
    <xf numFmtId="0" fontId="2" fillId="2" borderId="2" xfId="1" applyNumberFormat="1" applyBorder="1" applyAlignment="1">
      <alignment horizontal="center" vertical="center" wrapText="1" readingOrder="1"/>
    </xf>
    <xf numFmtId="0" fontId="2" fillId="2" borderId="3" xfId="1" applyNumberFormat="1" applyBorder="1" applyAlignment="1">
      <alignment horizontal="center" vertical="top" wrapText="1"/>
    </xf>
    <xf numFmtId="0" fontId="2" fillId="2" borderId="4" xfId="1" applyNumberFormat="1" applyBorder="1" applyAlignment="1">
      <alignment horizontal="center" vertical="top" wrapText="1"/>
    </xf>
    <xf numFmtId="0" fontId="9" fillId="0" borderId="5" xfId="0" applyFont="1" applyBorder="1" applyAlignment="1">
      <alignment horizontal="center" vertical="center" wrapText="1" readingOrder="1"/>
    </xf>
    <xf numFmtId="0" fontId="10" fillId="0" borderId="6" xfId="0" applyFont="1" applyBorder="1" applyAlignment="1">
      <alignment horizontal="center" vertical="center" wrapText="1" readingOrder="1"/>
    </xf>
    <xf numFmtId="0" fontId="3" fillId="0" borderId="6" xfId="0" applyFont="1" applyBorder="1" applyAlignment="1">
      <alignment horizontal="center"/>
    </xf>
    <xf numFmtId="0" fontId="9" fillId="0" borderId="6" xfId="0" applyFont="1" applyBorder="1" applyAlignment="1">
      <alignment horizontal="center" vertical="center" wrapText="1" readingOrder="1"/>
    </xf>
    <xf numFmtId="165" fontId="10" fillId="0" borderId="6" xfId="0" applyNumberFormat="1" applyFont="1" applyBorder="1" applyAlignment="1">
      <alignment horizontal="center" vertical="center" wrapText="1" readingOrder="1"/>
    </xf>
    <xf numFmtId="14" fontId="10" fillId="0" borderId="6" xfId="0" applyNumberFormat="1" applyFont="1" applyBorder="1" applyAlignment="1">
      <alignment horizontal="center" vertical="center" wrapText="1" readingOrder="1"/>
    </xf>
    <xf numFmtId="0" fontId="9" fillId="0" borderId="7" xfId="0" applyFont="1" applyBorder="1" applyAlignment="1">
      <alignment horizontal="center" vertical="center" wrapText="1" readingOrder="1"/>
    </xf>
    <xf numFmtId="2" fontId="10" fillId="0" borderId="8" xfId="0" applyNumberFormat="1" applyFont="1" applyBorder="1" applyAlignment="1">
      <alignment horizontal="center" vertical="center" wrapText="1" readingOrder="1"/>
    </xf>
    <xf numFmtId="0" fontId="10" fillId="0" borderId="8" xfId="0" applyFont="1" applyBorder="1" applyAlignment="1">
      <alignment horizontal="center" vertical="center" wrapText="1" readingOrder="1"/>
    </xf>
    <xf numFmtId="0" fontId="10" fillId="0" borderId="5" xfId="0" applyFont="1" applyBorder="1" applyAlignment="1">
      <alignment horizontal="center" vertical="center" wrapText="1" readingOrder="1"/>
    </xf>
    <xf numFmtId="0" fontId="3" fillId="0" borderId="6" xfId="0" applyFont="1" applyBorder="1" applyAlignment="1">
      <alignment horizontal="center" vertical="top" wrapText="1"/>
    </xf>
    <xf numFmtId="167" fontId="10" fillId="0" borderId="10" xfId="0" applyNumberFormat="1" applyFont="1" applyBorder="1" applyAlignment="1">
      <alignment horizontal="center" vertical="center" wrapText="1" readingOrder="1"/>
    </xf>
    <xf numFmtId="0" fontId="10" fillId="0" borderId="7" xfId="0" applyFont="1" applyBorder="1" applyAlignment="1">
      <alignment horizontal="center" vertical="center" wrapText="1" readingOrder="1"/>
    </xf>
    <xf numFmtId="0" fontId="10" fillId="0" borderId="0" xfId="0" applyFont="1" applyAlignment="1">
      <alignment horizontal="center" vertical="center" wrapText="1" readingOrder="1"/>
    </xf>
    <xf numFmtId="0" fontId="9" fillId="3" borderId="11" xfId="0" applyFont="1" applyFill="1" applyBorder="1" applyAlignment="1">
      <alignment horizontal="center" vertical="center" wrapText="1" readingOrder="1"/>
    </xf>
    <xf numFmtId="167" fontId="9" fillId="3" borderId="12" xfId="0" applyNumberFormat="1" applyFont="1" applyFill="1" applyBorder="1" applyAlignment="1">
      <alignment horizontal="center" vertical="center" wrapText="1" readingOrder="1"/>
    </xf>
    <xf numFmtId="0" fontId="2" fillId="2" borderId="13" xfId="1" applyNumberFormat="1" applyBorder="1" applyAlignment="1">
      <alignment horizontal="center" vertical="center" wrapText="1" readingOrder="1"/>
    </xf>
    <xf numFmtId="0" fontId="2" fillId="2" borderId="14" xfId="1" applyNumberFormat="1" applyBorder="1" applyAlignment="1">
      <alignment horizontal="center" vertical="center" wrapText="1" readingOrder="1"/>
    </xf>
    <xf numFmtId="0" fontId="2" fillId="2" borderId="15" xfId="1" applyNumberFormat="1" applyBorder="1" applyAlignment="1">
      <alignment horizontal="center" vertical="center" wrapText="1" readingOrder="1"/>
    </xf>
    <xf numFmtId="0" fontId="9" fillId="0" borderId="16" xfId="0" applyFont="1" applyBorder="1" applyAlignment="1">
      <alignment horizontal="center" vertical="center" wrapText="1" readingOrder="1"/>
    </xf>
    <xf numFmtId="0" fontId="9" fillId="0" borderId="0" xfId="0" applyFont="1" applyAlignment="1">
      <alignment horizontal="center" vertical="center" wrapText="1" readingOrder="1"/>
    </xf>
    <xf numFmtId="0" fontId="9" fillId="0" borderId="17" xfId="0" applyFont="1" applyBorder="1" applyAlignment="1">
      <alignment horizontal="center" vertical="center" wrapText="1" readingOrder="1"/>
    </xf>
    <xf numFmtId="0" fontId="9" fillId="0" borderId="11" xfId="0" applyFont="1" applyBorder="1" applyAlignment="1">
      <alignment horizontal="center" vertical="center" wrapText="1" readingOrder="1"/>
    </xf>
    <xf numFmtId="0" fontId="9" fillId="0" borderId="18" xfId="0" applyFont="1" applyBorder="1" applyAlignment="1">
      <alignment horizontal="center" vertical="center" wrapText="1" readingOrder="1"/>
    </xf>
    <xf numFmtId="0" fontId="9" fillId="0" borderId="19" xfId="0" applyFont="1" applyBorder="1" applyAlignment="1">
      <alignment horizontal="center" vertical="center" wrapText="1" readingOrder="1"/>
    </xf>
    <xf numFmtId="0" fontId="10" fillId="0" borderId="10" xfId="0" applyFont="1" applyBorder="1" applyAlignment="1">
      <alignment horizontal="center" vertical="center" wrapText="1" readingOrder="1"/>
    </xf>
    <xf numFmtId="166" fontId="10" fillId="0" borderId="10" xfId="0" applyNumberFormat="1" applyFont="1" applyBorder="1" applyAlignment="1">
      <alignment horizontal="center" vertical="center" wrapText="1" readingOrder="1"/>
    </xf>
    <xf numFmtId="2" fontId="3" fillId="0" borderId="9" xfId="0" applyNumberFormat="1" applyFont="1" applyBorder="1" applyAlignment="1">
      <alignment horizontal="center" vertical="top" wrapText="1"/>
    </xf>
    <xf numFmtId="0" fontId="10" fillId="0" borderId="20" xfId="0" applyFont="1" applyBorder="1" applyAlignment="1">
      <alignment horizontal="center" vertical="center" wrapText="1" readingOrder="1"/>
    </xf>
    <xf numFmtId="168" fontId="3" fillId="0" borderId="21" xfId="0" applyNumberFormat="1" applyFont="1" applyBorder="1" applyAlignment="1">
      <alignment horizontal="center" vertical="top" wrapText="1"/>
    </xf>
    <xf numFmtId="0" fontId="10" fillId="0" borderId="21" xfId="0" applyFont="1" applyBorder="1" applyAlignment="1">
      <alignment horizontal="center" vertical="center" wrapText="1" readingOrder="1"/>
    </xf>
    <xf numFmtId="0" fontId="3" fillId="0" borderId="21" xfId="0" applyFont="1" applyBorder="1" applyAlignment="1">
      <alignment horizontal="center" vertical="top" wrapText="1"/>
    </xf>
    <xf numFmtId="167" fontId="10" fillId="0" borderId="22" xfId="0" applyNumberFormat="1" applyFont="1" applyBorder="1" applyAlignment="1">
      <alignment horizontal="center" vertical="center" wrapText="1" readingOrder="1"/>
    </xf>
    <xf numFmtId="168" fontId="3" fillId="0" borderId="6" xfId="0" applyNumberFormat="1" applyFont="1" applyBorder="1" applyAlignment="1">
      <alignment horizontal="center" vertical="top" wrapText="1"/>
    </xf>
    <xf numFmtId="167" fontId="10" fillId="0" borderId="6" xfId="0" applyNumberFormat="1" applyFont="1" applyBorder="1" applyAlignment="1">
      <alignment horizontal="center" vertical="center" wrapText="1" readingOrder="1"/>
    </xf>
    <xf numFmtId="2" fontId="3" fillId="0" borderId="0" xfId="0" applyNumberFormat="1" applyFont="1" applyAlignment="1">
      <alignment horizontal="center"/>
    </xf>
    <xf numFmtId="0" fontId="2" fillId="2" borderId="6" xfId="1" applyNumberFormat="1" applyBorder="1" applyAlignment="1">
      <alignment horizontal="center" vertical="center" wrapText="1" readingOrder="1"/>
    </xf>
    <xf numFmtId="169" fontId="3" fillId="0" borderId="9" xfId="0" applyNumberFormat="1" applyFont="1" applyBorder="1" applyAlignment="1">
      <alignment horizontal="center" vertical="top" wrapText="1"/>
    </xf>
    <xf numFmtId="170" fontId="3" fillId="0" borderId="0" xfId="0" applyNumberFormat="1" applyFont="1" applyAlignment="1">
      <alignment horizontal="center"/>
    </xf>
    <xf numFmtId="171" fontId="3" fillId="0" borderId="0" xfId="0" applyNumberFormat="1" applyFont="1" applyAlignment="1">
      <alignment horizontal="center"/>
    </xf>
    <xf numFmtId="3" fontId="3" fillId="0" borderId="6" xfId="0" applyNumberFormat="1" applyFont="1" applyBorder="1" applyAlignment="1">
      <alignment horizontal="center" vertical="top" wrapText="1"/>
    </xf>
    <xf numFmtId="3" fontId="10" fillId="0" borderId="10" xfId="0" applyNumberFormat="1" applyFont="1" applyBorder="1" applyAlignment="1">
      <alignment horizontal="center" vertical="center" wrapText="1" readingOrder="1"/>
    </xf>
    <xf numFmtId="3" fontId="3" fillId="0" borderId="0" xfId="0" applyNumberFormat="1" applyFont="1" applyAlignment="1">
      <alignment horizontal="center"/>
    </xf>
    <xf numFmtId="3" fontId="3" fillId="0" borderId="21" xfId="0" applyNumberFormat="1" applyFont="1" applyBorder="1" applyAlignment="1">
      <alignment horizontal="center" vertical="top" wrapText="1"/>
    </xf>
    <xf numFmtId="3" fontId="10" fillId="0" borderId="22" xfId="0" applyNumberFormat="1" applyFont="1" applyBorder="1" applyAlignment="1">
      <alignment horizontal="center" vertical="center" wrapText="1" readingOrder="1"/>
    </xf>
    <xf numFmtId="3" fontId="3" fillId="0" borderId="8" xfId="0" applyNumberFormat="1" applyFont="1" applyBorder="1" applyAlignment="1">
      <alignment horizontal="center" vertical="top" wrapText="1"/>
    </xf>
    <xf numFmtId="3" fontId="10" fillId="0" borderId="9" xfId="0" applyNumberFormat="1" applyFont="1" applyBorder="1" applyAlignment="1">
      <alignment horizontal="center" vertical="center" wrapText="1" readingOrder="1"/>
    </xf>
    <xf numFmtId="3" fontId="3" fillId="0" borderId="0" xfId="2" applyNumberFormat="1" applyFont="1" applyFill="1" applyBorder="1" applyAlignment="1">
      <alignment horizontal="center"/>
    </xf>
    <xf numFmtId="0" fontId="10" fillId="0" borderId="23" xfId="0" applyFont="1" applyBorder="1" applyAlignment="1">
      <alignment horizontal="center" vertical="center" wrapText="1" readingOrder="1"/>
    </xf>
    <xf numFmtId="2" fontId="12" fillId="6" borderId="6" xfId="0" applyNumberFormat="1" applyFont="1" applyFill="1" applyBorder="1" applyAlignment="1">
      <alignment horizontal="center"/>
    </xf>
    <xf numFmtId="0" fontId="12" fillId="6" borderId="6" xfId="0" applyFont="1" applyFill="1" applyBorder="1" applyAlignment="1">
      <alignment horizontal="center"/>
    </xf>
    <xf numFmtId="2" fontId="12" fillId="5" borderId="6" xfId="0" applyNumberFormat="1" applyFont="1" applyFill="1" applyBorder="1" applyAlignment="1">
      <alignment horizontal="center"/>
    </xf>
    <xf numFmtId="0" fontId="12" fillId="5" borderId="6" xfId="0" applyFont="1" applyFill="1" applyBorder="1" applyAlignment="1">
      <alignment horizontal="center"/>
    </xf>
    <xf numFmtId="2" fontId="13" fillId="7" borderId="6" xfId="0" applyNumberFormat="1" applyFont="1" applyFill="1" applyBorder="1" applyAlignment="1">
      <alignment horizontal="center"/>
    </xf>
    <xf numFmtId="0" fontId="13" fillId="7" borderId="6" xfId="0" applyFont="1" applyFill="1" applyBorder="1" applyAlignment="1">
      <alignment horizontal="center"/>
    </xf>
    <xf numFmtId="2" fontId="13" fillId="4" borderId="6" xfId="0" applyNumberFormat="1" applyFont="1" applyFill="1" applyBorder="1" applyAlignment="1">
      <alignment horizontal="center"/>
    </xf>
    <xf numFmtId="0" fontId="13" fillId="4" borderId="6" xfId="0" applyFont="1" applyFill="1" applyBorder="1" applyAlignment="1">
      <alignment horizontal="center"/>
    </xf>
    <xf numFmtId="2" fontId="12" fillId="8" borderId="6" xfId="0" applyNumberFormat="1" applyFont="1" applyFill="1" applyBorder="1" applyAlignment="1">
      <alignment horizontal="center"/>
    </xf>
    <xf numFmtId="0" fontId="12" fillId="8" borderId="6" xfId="0" applyFont="1" applyFill="1" applyBorder="1" applyAlignment="1">
      <alignment horizontal="center"/>
    </xf>
    <xf numFmtId="2" fontId="12" fillId="9" borderId="6" xfId="0" applyNumberFormat="1" applyFont="1" applyFill="1" applyBorder="1" applyAlignment="1">
      <alignment horizontal="center"/>
    </xf>
    <xf numFmtId="0" fontId="12" fillId="9" borderId="6" xfId="0" applyFont="1" applyFill="1" applyBorder="1" applyAlignment="1">
      <alignment horizontal="center"/>
    </xf>
    <xf numFmtId="2" fontId="13" fillId="10" borderId="6" xfId="0" applyNumberFormat="1" applyFont="1" applyFill="1" applyBorder="1" applyAlignment="1">
      <alignment horizontal="center"/>
    </xf>
    <xf numFmtId="0" fontId="13" fillId="10" borderId="6" xfId="0" applyFont="1" applyFill="1" applyBorder="1" applyAlignment="1">
      <alignment horizontal="center"/>
    </xf>
    <xf numFmtId="2" fontId="13" fillId="11" borderId="6" xfId="0" applyNumberFormat="1" applyFont="1" applyFill="1" applyBorder="1" applyAlignment="1">
      <alignment horizontal="center"/>
    </xf>
    <xf numFmtId="0" fontId="13" fillId="11" borderId="6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2" borderId="2" xfId="1" applyNumberFormat="1" applyBorder="1" applyAlignment="1">
      <alignment horizontal="center" wrapText="1" readingOrder="1"/>
    </xf>
    <xf numFmtId="0" fontId="9" fillId="0" borderId="6" xfId="0" applyFont="1" applyBorder="1" applyAlignment="1">
      <alignment horizontal="center" wrapText="1" readingOrder="1"/>
    </xf>
    <xf numFmtId="14" fontId="10" fillId="0" borderId="6" xfId="0" applyNumberFormat="1" applyFont="1" applyBorder="1" applyAlignment="1">
      <alignment horizontal="center" wrapText="1" readingOrder="1"/>
    </xf>
    <xf numFmtId="0" fontId="10" fillId="0" borderId="5" xfId="0" applyFont="1" applyBorder="1" applyAlignment="1">
      <alignment horizontal="center" wrapText="1" readingOrder="1"/>
    </xf>
    <xf numFmtId="3" fontId="3" fillId="0" borderId="6" xfId="0" applyNumberFormat="1" applyFont="1" applyBorder="1" applyAlignment="1">
      <alignment horizontal="center" wrapText="1"/>
    </xf>
    <xf numFmtId="3" fontId="10" fillId="0" borderId="10" xfId="0" applyNumberFormat="1" applyFont="1" applyBorder="1" applyAlignment="1">
      <alignment horizontal="center" wrapText="1" readingOrder="1"/>
    </xf>
    <xf numFmtId="3" fontId="10" fillId="0" borderId="9" xfId="0" applyNumberFormat="1" applyFont="1" applyBorder="1" applyAlignment="1">
      <alignment horizontal="center" wrapText="1" readingOrder="1"/>
    </xf>
    <xf numFmtId="0" fontId="10" fillId="0" borderId="7" xfId="0" applyFont="1" applyBorder="1" applyAlignment="1">
      <alignment horizontal="center" wrapText="1" readingOrder="1"/>
    </xf>
    <xf numFmtId="3" fontId="3" fillId="0" borderId="8" xfId="0" applyNumberFormat="1" applyFont="1" applyBorder="1" applyAlignment="1">
      <alignment horizontal="center" wrapText="1"/>
    </xf>
    <xf numFmtId="0" fontId="10" fillId="0" borderId="0" xfId="0" applyFont="1" applyAlignment="1">
      <alignment horizontal="center" wrapText="1" readingOrder="1"/>
    </xf>
    <xf numFmtId="0" fontId="9" fillId="3" borderId="11" xfId="0" applyFont="1" applyFill="1" applyBorder="1" applyAlignment="1">
      <alignment horizontal="center" wrapText="1" readingOrder="1"/>
    </xf>
    <xf numFmtId="167" fontId="9" fillId="3" borderId="12" xfId="0" applyNumberFormat="1" applyFont="1" applyFill="1" applyBorder="1" applyAlignment="1">
      <alignment horizontal="center" wrapText="1" readingOrder="1"/>
    </xf>
    <xf numFmtId="3" fontId="0" fillId="0" borderId="6" xfId="0" applyNumberFormat="1" applyBorder="1" applyAlignment="1">
      <alignment horizontal="center"/>
    </xf>
    <xf numFmtId="3" fontId="14" fillId="9" borderId="6" xfId="0" applyNumberFormat="1" applyFont="1" applyFill="1" applyBorder="1" applyAlignment="1">
      <alignment horizontal="center"/>
    </xf>
    <xf numFmtId="0" fontId="13" fillId="10" borderId="27" xfId="0" applyFont="1" applyFill="1" applyBorder="1" applyAlignment="1">
      <alignment horizontal="center"/>
    </xf>
    <xf numFmtId="3" fontId="3" fillId="10" borderId="27" xfId="0" applyNumberFormat="1" applyFont="1" applyFill="1" applyBorder="1" applyAlignment="1">
      <alignment horizontal="center"/>
    </xf>
    <xf numFmtId="0" fontId="15" fillId="0" borderId="18" xfId="0" applyFont="1" applyBorder="1"/>
    <xf numFmtId="16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0" fillId="12" borderId="0" xfId="0" applyFill="1"/>
    <xf numFmtId="0" fontId="17" fillId="0" borderId="0" xfId="0" applyFont="1"/>
    <xf numFmtId="3" fontId="10" fillId="0" borderId="6" xfId="0" applyNumberFormat="1" applyFont="1" applyBorder="1" applyAlignment="1">
      <alignment horizontal="center" wrapText="1" readingOrder="1"/>
    </xf>
    <xf numFmtId="166" fontId="10" fillId="0" borderId="6" xfId="0" applyNumberFormat="1" applyFont="1" applyBorder="1" applyAlignment="1">
      <alignment horizontal="center" wrapText="1" readingOrder="1"/>
    </xf>
    <xf numFmtId="2" fontId="10" fillId="0" borderId="6" xfId="0" applyNumberFormat="1" applyFont="1" applyBorder="1" applyAlignment="1">
      <alignment horizontal="center" wrapText="1" readingOrder="1"/>
    </xf>
    <xf numFmtId="0" fontId="10" fillId="0" borderId="6" xfId="0" applyFont="1" applyBorder="1" applyAlignment="1">
      <alignment horizontal="center" wrapText="1" readingOrder="1"/>
    </xf>
    <xf numFmtId="169" fontId="3" fillId="0" borderId="6" xfId="0" applyNumberFormat="1" applyFont="1" applyBorder="1" applyAlignment="1">
      <alignment horizontal="center" wrapText="1"/>
    </xf>
    <xf numFmtId="0" fontId="17" fillId="0" borderId="0" xfId="0" applyFont="1" applyAlignment="1">
      <alignment horizontal="centerContinuous"/>
    </xf>
    <xf numFmtId="0" fontId="16" fillId="0" borderId="0" xfId="0" applyFont="1"/>
    <xf numFmtId="1" fontId="12" fillId="9" borderId="6" xfId="0" applyNumberFormat="1" applyFont="1" applyFill="1" applyBorder="1" applyAlignment="1">
      <alignment horizontal="center"/>
    </xf>
    <xf numFmtId="1" fontId="13" fillId="10" borderId="6" xfId="0" applyNumberFormat="1" applyFont="1" applyFill="1" applyBorder="1" applyAlignment="1">
      <alignment horizontal="center"/>
    </xf>
    <xf numFmtId="1" fontId="10" fillId="0" borderId="6" xfId="0" applyNumberFormat="1" applyFont="1" applyBorder="1" applyAlignment="1">
      <alignment horizontal="center" wrapText="1" readingOrder="1"/>
    </xf>
    <xf numFmtId="0" fontId="20" fillId="0" borderId="0" xfId="0" applyFont="1" applyAlignment="1">
      <alignment horizontal="left" vertical="center"/>
    </xf>
    <xf numFmtId="0" fontId="24" fillId="0" borderId="0" xfId="0" applyFont="1"/>
    <xf numFmtId="0" fontId="25" fillId="0" borderId="0" xfId="0" applyFont="1"/>
    <xf numFmtId="0" fontId="21" fillId="14" borderId="6" xfId="0" applyFont="1" applyFill="1" applyBorder="1" applyAlignment="1">
      <alignment horizontal="center" vertical="center"/>
    </xf>
    <xf numFmtId="0" fontId="26" fillId="14" borderId="6" xfId="0" applyFont="1" applyFill="1" applyBorder="1" applyAlignment="1">
      <alignment horizontal="center" vertical="center"/>
    </xf>
    <xf numFmtId="3" fontId="10" fillId="0" borderId="6" xfId="0" applyNumberFormat="1" applyFont="1" applyBorder="1" applyAlignment="1">
      <alignment horizontal="center" vertical="center" wrapText="1" readingOrder="1"/>
    </xf>
    <xf numFmtId="2" fontId="27" fillId="9" borderId="6" xfId="0" applyNumberFormat="1" applyFont="1" applyFill="1" applyBorder="1" applyAlignment="1">
      <alignment horizontal="center" vertical="center"/>
    </xf>
    <xf numFmtId="0" fontId="27" fillId="9" borderId="6" xfId="0" applyFont="1" applyFill="1" applyBorder="1" applyAlignment="1">
      <alignment horizontal="center" vertical="center"/>
    </xf>
    <xf numFmtId="3" fontId="27" fillId="9" borderId="6" xfId="0" applyNumberFormat="1" applyFont="1" applyFill="1" applyBorder="1" applyAlignment="1">
      <alignment horizontal="center" vertical="center"/>
    </xf>
    <xf numFmtId="166" fontId="10" fillId="0" borderId="6" xfId="0" applyNumberFormat="1" applyFont="1" applyBorder="1" applyAlignment="1">
      <alignment horizontal="center" vertical="center" wrapText="1" readingOrder="1"/>
    </xf>
    <xf numFmtId="2" fontId="28" fillId="15" borderId="6" xfId="0" applyNumberFormat="1" applyFont="1" applyFill="1" applyBorder="1" applyAlignment="1">
      <alignment horizontal="center" vertical="center"/>
    </xf>
    <xf numFmtId="0" fontId="28" fillId="15" borderId="6" xfId="0" applyFont="1" applyFill="1" applyBorder="1" applyAlignment="1">
      <alignment horizontal="center" vertical="center"/>
    </xf>
    <xf numFmtId="3" fontId="28" fillId="15" borderId="6" xfId="0" applyNumberFormat="1" applyFont="1" applyFill="1" applyBorder="1" applyAlignment="1">
      <alignment horizontal="center" vertical="center"/>
    </xf>
    <xf numFmtId="169" fontId="3" fillId="0" borderId="6" xfId="0" applyNumberFormat="1" applyFont="1" applyBorder="1" applyAlignment="1">
      <alignment horizontal="center" vertical="center" wrapText="1"/>
    </xf>
    <xf numFmtId="2" fontId="28" fillId="11" borderId="6" xfId="0" applyNumberFormat="1" applyFont="1" applyFill="1" applyBorder="1" applyAlignment="1">
      <alignment horizontal="center" vertical="center"/>
    </xf>
    <xf numFmtId="0" fontId="28" fillId="11" borderId="6" xfId="0" applyFont="1" applyFill="1" applyBorder="1" applyAlignment="1">
      <alignment horizontal="center" vertical="center"/>
    </xf>
    <xf numFmtId="3" fontId="29" fillId="0" borderId="6" xfId="0" applyNumberFormat="1" applyFont="1" applyBorder="1" applyAlignment="1">
      <alignment horizontal="center" vertical="center" wrapText="1" readingOrder="1"/>
    </xf>
    <xf numFmtId="0" fontId="22" fillId="13" borderId="6" xfId="3" applyFont="1" applyBorder="1" applyAlignment="1">
      <alignment horizontal="center" vertical="center" wrapText="1" readingOrder="1"/>
    </xf>
    <xf numFmtId="3" fontId="3" fillId="0" borderId="6" xfId="0" applyNumberFormat="1" applyFont="1" applyBorder="1" applyAlignment="1">
      <alignment horizontal="center" vertical="center" wrapText="1"/>
    </xf>
    <xf numFmtId="1" fontId="10" fillId="0" borderId="6" xfId="0" applyNumberFormat="1" applyFont="1" applyBorder="1" applyAlignment="1">
      <alignment horizontal="center" vertical="center" wrapText="1" readingOrder="1"/>
    </xf>
    <xf numFmtId="2" fontId="26" fillId="14" borderId="6" xfId="0" applyNumberFormat="1" applyFont="1" applyFill="1" applyBorder="1" applyAlignment="1">
      <alignment horizontal="center" vertical="center"/>
    </xf>
    <xf numFmtId="3" fontId="0" fillId="0" borderId="0" xfId="0" applyNumberFormat="1"/>
    <xf numFmtId="3" fontId="20" fillId="0" borderId="0" xfId="0" applyNumberFormat="1" applyFont="1" applyAlignment="1">
      <alignment horizontal="left" vertical="center"/>
    </xf>
    <xf numFmtId="0" fontId="23" fillId="2" borderId="23" xfId="1" applyNumberFormat="1" applyFont="1" applyBorder="1" applyAlignment="1">
      <alignment horizontal="center" vertical="center" wrapText="1" readingOrder="1"/>
    </xf>
    <xf numFmtId="0" fontId="23" fillId="2" borderId="28" xfId="1" applyNumberFormat="1" applyFont="1" applyBorder="1" applyAlignment="1">
      <alignment horizontal="center" vertical="center" wrapText="1" readingOrder="1"/>
    </xf>
    <xf numFmtId="0" fontId="23" fillId="2" borderId="27" xfId="1" applyNumberFormat="1" applyFont="1" applyBorder="1" applyAlignment="1">
      <alignment horizontal="center" vertical="center" wrapText="1" readingOrder="1"/>
    </xf>
    <xf numFmtId="0" fontId="23" fillId="2" borderId="6" xfId="1" applyNumberFormat="1" applyFont="1" applyBorder="1" applyAlignment="1">
      <alignment horizontal="center" wrapText="1" readingOrder="1"/>
    </xf>
    <xf numFmtId="0" fontId="9" fillId="0" borderId="6" xfId="0" applyFont="1" applyBorder="1" applyAlignment="1">
      <alignment horizontal="center" wrapText="1" readingOrder="1"/>
    </xf>
    <xf numFmtId="0" fontId="18" fillId="2" borderId="6" xfId="1" applyNumberFormat="1" applyFont="1" applyBorder="1" applyAlignment="1">
      <alignment horizontal="center" vertical="center" wrapText="1" readingOrder="1"/>
    </xf>
    <xf numFmtId="0" fontId="0" fillId="0" borderId="29" xfId="0" applyBorder="1" applyAlignment="1">
      <alignment horizontal="center"/>
    </xf>
    <xf numFmtId="0" fontId="0" fillId="0" borderId="0" xfId="0" applyAlignment="1">
      <alignment horizontal="center"/>
    </xf>
    <xf numFmtId="0" fontId="2" fillId="2" borderId="24" xfId="1" applyNumberFormat="1" applyBorder="1" applyAlignment="1">
      <alignment horizontal="center" wrapText="1" readingOrder="1"/>
    </xf>
    <xf numFmtId="0" fontId="2" fillId="2" borderId="25" xfId="1" applyNumberFormat="1" applyBorder="1" applyAlignment="1">
      <alignment horizontal="center" wrapText="1" readingOrder="1"/>
    </xf>
    <xf numFmtId="0" fontId="2" fillId="2" borderId="26" xfId="1" applyNumberFormat="1" applyBorder="1" applyAlignment="1">
      <alignment horizontal="center" wrapText="1" readingOrder="1"/>
    </xf>
    <xf numFmtId="0" fontId="2" fillId="2" borderId="6" xfId="1" applyNumberFormat="1" applyBorder="1" applyAlignment="1">
      <alignment horizontal="center" wrapText="1" readingOrder="1"/>
    </xf>
    <xf numFmtId="0" fontId="15" fillId="0" borderId="18" xfId="0" applyFont="1" applyBorder="1" applyAlignment="1">
      <alignment horizontal="center"/>
    </xf>
  </cellXfs>
  <cellStyles count="4">
    <cellStyle name="40% - Accent5" xfId="3" builtinId="47"/>
    <cellStyle name="Accent5" xfId="1" builtinId="45"/>
    <cellStyle name="Comma" xfId="2" builtinId="3"/>
    <cellStyle name="Normal" xfId="0" builtinId="0"/>
  </cellStyles>
  <dxfs count="0"/>
  <tableStyles count="0" defaultTableStyle="TableStyleMedium2" defaultPivotStyle="PivotStyleLight16"/>
  <colors>
    <mruColors>
      <color rgb="FF66FF99"/>
      <color rgb="FFCCFFCC"/>
      <color rgb="FFFF7C80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295274</xdr:colOff>
      <xdr:row>5</xdr:row>
      <xdr:rowOff>85725</xdr:rowOff>
    </xdr:from>
    <xdr:to>
      <xdr:col>5</xdr:col>
      <xdr:colOff>914399</xdr:colOff>
      <xdr:row>8</xdr:row>
      <xdr:rowOff>104775</xdr:rowOff>
    </xdr:to>
    <xdr:pic>
      <xdr:nvPicPr>
        <xdr:cNvPr id="3" name="Picture 2" descr="terms and conditions Icon 4321580">
          <a:extLst>
            <a:ext uri="{FF2B5EF4-FFF2-40B4-BE49-F238E27FC236}">
              <a16:creationId xmlns:a16="http://schemas.microsoft.com/office/drawing/2014/main" id="{DE370291-92BC-BA07-0776-16642FA2F2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9774" y="1038225"/>
          <a:ext cx="619125" cy="619125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257174</xdr:colOff>
      <xdr:row>1</xdr:row>
      <xdr:rowOff>152400</xdr:rowOff>
    </xdr:from>
    <xdr:to>
      <xdr:col>2</xdr:col>
      <xdr:colOff>876299</xdr:colOff>
      <xdr:row>5</xdr:row>
      <xdr:rowOff>0</xdr:rowOff>
    </xdr:to>
    <xdr:pic>
      <xdr:nvPicPr>
        <xdr:cNvPr id="2" name="Picture 1" descr="terms and conditions Icon 4321580">
          <a:extLst>
            <a:ext uri="{FF2B5EF4-FFF2-40B4-BE49-F238E27FC236}">
              <a16:creationId xmlns:a16="http://schemas.microsoft.com/office/drawing/2014/main" id="{1AB2D368-091E-4FF2-98E7-82246451FC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8774" y="333375"/>
          <a:ext cx="619125" cy="619125"/>
        </a:xfrm>
        <a:prstGeom prst="rect">
          <a:avLst/>
        </a:prstGeom>
        <a:solidFill>
          <a:schemeClr val="accent5"/>
        </a:solidFill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Blue Green">
      <a:dk1>
        <a:sysClr val="windowText" lastClr="000000"/>
      </a:dk1>
      <a:lt1>
        <a:sysClr val="window" lastClr="FFFFFF"/>
      </a:lt1>
      <a:dk2>
        <a:srgbClr val="373545"/>
      </a:dk2>
      <a:lt2>
        <a:srgbClr val="CEDBE6"/>
      </a:lt2>
      <a:accent1>
        <a:srgbClr val="3494BA"/>
      </a:accent1>
      <a:accent2>
        <a:srgbClr val="58B6C0"/>
      </a:accent2>
      <a:accent3>
        <a:srgbClr val="75BDA7"/>
      </a:accent3>
      <a:accent4>
        <a:srgbClr val="7A8C8E"/>
      </a:accent4>
      <a:accent5>
        <a:srgbClr val="84ACB6"/>
      </a:accent5>
      <a:accent6>
        <a:srgbClr val="2683C6"/>
      </a:accent6>
      <a:hlink>
        <a:srgbClr val="6B9F25"/>
      </a:hlink>
      <a:folHlink>
        <a:srgbClr val="9F6715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enuitemdisplay://hcmworker/+5116+%5B11:S_001183%5D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enuitemdisplay://hcmworker/+5116+%5B11:S_001183%5D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32"/>
  <sheetViews>
    <sheetView workbookViewId="0">
      <selection activeCell="F23" sqref="F23"/>
    </sheetView>
  </sheetViews>
  <sheetFormatPr defaultColWidth="21.5703125" defaultRowHeight="15"/>
  <cols>
    <col min="1" max="2" width="21.5703125" style="1"/>
    <col min="3" max="3" width="24.7109375" style="1" customWidth="1"/>
    <col min="4" max="5" width="21.5703125" style="1"/>
    <col min="6" max="6" width="23.5703125" style="1" customWidth="1"/>
    <col min="7" max="7" width="21.5703125" style="1"/>
    <col min="8" max="8" width="23" style="1" customWidth="1"/>
    <col min="9" max="16384" width="21.5703125" style="1"/>
  </cols>
  <sheetData>
    <row r="2" spans="1:11" ht="16.5">
      <c r="B2" s="2"/>
      <c r="C2" s="3"/>
    </row>
    <row r="3" spans="1:11">
      <c r="C3" s="4"/>
    </row>
    <row r="4" spans="1:11">
      <c r="B4" s="5"/>
      <c r="C4" s="6"/>
    </row>
    <row r="5" spans="1:11">
      <c r="B5" s="5"/>
      <c r="C5" s="6"/>
    </row>
    <row r="7" spans="1:11">
      <c r="A7" s="7"/>
      <c r="B7" s="7"/>
      <c r="C7" s="7"/>
      <c r="D7" s="7"/>
      <c r="E7" s="7"/>
      <c r="F7" s="7"/>
    </row>
    <row r="8" spans="1:11" ht="15.75" thickBot="1"/>
    <row r="9" spans="1:11">
      <c r="B9" s="8" t="s">
        <v>0</v>
      </c>
      <c r="C9" s="9"/>
      <c r="D9" s="9"/>
      <c r="E9" s="9"/>
      <c r="F9" s="10"/>
    </row>
    <row r="10" spans="1:11">
      <c r="B10" s="11" t="s">
        <v>1</v>
      </c>
      <c r="C10" s="12" t="s">
        <v>2</v>
      </c>
      <c r="D10" s="13"/>
      <c r="E10" s="14" t="s">
        <v>3</v>
      </c>
      <c r="F10" s="36" t="s">
        <v>4</v>
      </c>
      <c r="H10" s="46">
        <v>0</v>
      </c>
      <c r="I10" s="1" t="s">
        <v>37</v>
      </c>
      <c r="K10" s="1" t="s">
        <v>38</v>
      </c>
    </row>
    <row r="11" spans="1:11">
      <c r="B11" s="11" t="s">
        <v>5</v>
      </c>
      <c r="C11" s="15">
        <v>40765</v>
      </c>
      <c r="D11" s="16"/>
      <c r="E11" s="14" t="s">
        <v>6</v>
      </c>
      <c r="F11" s="36" t="s">
        <v>7</v>
      </c>
      <c r="H11" s="46">
        <v>0.33333333300000001</v>
      </c>
      <c r="I11" s="1" t="s">
        <v>35</v>
      </c>
      <c r="K11" s="1" t="s">
        <v>40</v>
      </c>
    </row>
    <row r="12" spans="1:11">
      <c r="B12" s="11" t="s">
        <v>8</v>
      </c>
      <c r="C12" s="12" t="s">
        <v>9</v>
      </c>
      <c r="D12" s="13"/>
      <c r="E12" s="14" t="s">
        <v>10</v>
      </c>
      <c r="F12" s="36"/>
      <c r="H12" s="46">
        <v>0.66666666666666596</v>
      </c>
      <c r="I12" s="1" t="s">
        <v>36</v>
      </c>
      <c r="K12" s="1" t="s">
        <v>39</v>
      </c>
    </row>
    <row r="13" spans="1:11">
      <c r="B13" s="11" t="s">
        <v>11</v>
      </c>
      <c r="C13" s="12" t="s">
        <v>9</v>
      </c>
      <c r="D13" s="13"/>
      <c r="E13" s="14" t="s">
        <v>12</v>
      </c>
      <c r="F13" s="36">
        <v>1092476751</v>
      </c>
      <c r="H13" s="46" t="s">
        <v>44</v>
      </c>
      <c r="I13" s="1" t="s">
        <v>41</v>
      </c>
    </row>
    <row r="14" spans="1:11">
      <c r="B14" s="11" t="s">
        <v>13</v>
      </c>
      <c r="C14" s="12" t="s">
        <v>14</v>
      </c>
      <c r="D14" s="13"/>
      <c r="E14" s="14" t="s">
        <v>15</v>
      </c>
      <c r="F14" s="36">
        <v>550102780</v>
      </c>
    </row>
    <row r="15" spans="1:11">
      <c r="B15" s="11" t="s">
        <v>16</v>
      </c>
      <c r="C15" s="12" t="s">
        <v>17</v>
      </c>
      <c r="D15" s="13"/>
      <c r="E15" s="14" t="s">
        <v>18</v>
      </c>
      <c r="F15" s="36">
        <v>1000</v>
      </c>
    </row>
    <row r="16" spans="1:11">
      <c r="B16" s="11" t="s">
        <v>19</v>
      </c>
      <c r="C16" s="16">
        <v>43322</v>
      </c>
      <c r="D16" s="13"/>
      <c r="E16" s="14" t="s">
        <v>20</v>
      </c>
      <c r="F16" s="37">
        <v>30</v>
      </c>
    </row>
    <row r="17" spans="2:6" ht="15.75" thickBot="1">
      <c r="B17" s="17" t="s">
        <v>21</v>
      </c>
      <c r="C17" s="18">
        <f>C16-C11</f>
        <v>2557</v>
      </c>
      <c r="D17" s="19" t="s">
        <v>22</v>
      </c>
      <c r="E17" s="19" t="s">
        <v>42</v>
      </c>
      <c r="F17" s="38">
        <f>C17/365</f>
        <v>7.0054794520547947</v>
      </c>
    </row>
    <row r="18" spans="2:6" hidden="1"/>
    <row r="19" spans="2:6" ht="15.75" thickBot="1"/>
    <row r="20" spans="2:6">
      <c r="B20" s="8" t="s">
        <v>23</v>
      </c>
      <c r="C20" s="9"/>
      <c r="D20" s="9"/>
      <c r="E20" s="9"/>
      <c r="F20" s="10"/>
    </row>
    <row r="21" spans="2:6">
      <c r="B21" s="20" t="s">
        <v>24</v>
      </c>
      <c r="C21" s="21">
        <f>F15</f>
        <v>1000</v>
      </c>
      <c r="D21" s="12" t="s">
        <v>22</v>
      </c>
      <c r="E21" s="21"/>
      <c r="F21" s="22" t="s">
        <v>2</v>
      </c>
    </row>
    <row r="22" spans="2:6">
      <c r="B22" s="39" t="s">
        <v>25</v>
      </c>
      <c r="C22" s="40">
        <f>F16</f>
        <v>30</v>
      </c>
      <c r="D22" s="41"/>
      <c r="E22" s="42"/>
      <c r="F22" s="43">
        <f>C21/30*F16</f>
        <v>1000.0000000000001</v>
      </c>
    </row>
    <row r="23" spans="2:6">
      <c r="B23" s="12" t="s">
        <v>43</v>
      </c>
      <c r="C23" s="44"/>
      <c r="D23" s="12"/>
      <c r="E23" s="21"/>
      <c r="F23" s="45">
        <f>IF(C17&lt;=1825,(F15*0.5)*F17,((F15*0.5)*5)+(F15*(F17-5)))</f>
        <v>4505.4794520547948</v>
      </c>
    </row>
    <row r="24" spans="2:6" ht="15.75" thickBot="1">
      <c r="B24" s="24" t="s">
        <v>22</v>
      </c>
      <c r="E24" s="25" t="s">
        <v>26</v>
      </c>
      <c r="F24" s="26">
        <f>SUM(F21:F22)</f>
        <v>1000.0000000000001</v>
      </c>
    </row>
    <row r="28" spans="2:6" ht="15.75" thickBot="1"/>
    <row r="29" spans="2:6">
      <c r="B29" s="27" t="s">
        <v>27</v>
      </c>
      <c r="C29" s="28"/>
      <c r="D29" s="28" t="s">
        <v>28</v>
      </c>
      <c r="E29" s="28"/>
      <c r="F29" s="29" t="s">
        <v>29</v>
      </c>
    </row>
    <row r="30" spans="2:6">
      <c r="B30" s="30" t="s">
        <v>30</v>
      </c>
      <c r="C30" s="31"/>
      <c r="D30" s="31" t="s">
        <v>31</v>
      </c>
      <c r="E30" s="31"/>
      <c r="F30" s="32" t="s">
        <v>31</v>
      </c>
    </row>
    <row r="31" spans="2:6">
      <c r="B31" s="30" t="s">
        <v>32</v>
      </c>
      <c r="C31" s="31"/>
      <c r="D31" s="31" t="s">
        <v>33</v>
      </c>
      <c r="E31" s="31"/>
      <c r="F31" s="32" t="s">
        <v>32</v>
      </c>
    </row>
    <row r="32" spans="2:6" ht="15.75" thickBot="1">
      <c r="B32" s="33" t="s">
        <v>34</v>
      </c>
      <c r="C32" s="34"/>
      <c r="D32" s="34" t="s">
        <v>34</v>
      </c>
      <c r="E32" s="34"/>
      <c r="F32" s="35" t="s">
        <v>34</v>
      </c>
    </row>
  </sheetData>
  <hyperlinks>
    <hyperlink ref="C10" r:id="rId1" display="S_001183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I27"/>
  <sheetViews>
    <sheetView topLeftCell="A4" workbookViewId="0">
      <selection activeCell="B8" sqref="B8:I25"/>
    </sheetView>
  </sheetViews>
  <sheetFormatPr defaultColWidth="21.5703125" defaultRowHeight="15"/>
  <cols>
    <col min="1" max="2" width="21.5703125" style="1"/>
    <col min="3" max="3" width="24.7109375" style="1" customWidth="1"/>
    <col min="4" max="4" width="21.5703125" style="1"/>
    <col min="5" max="5" width="23.5703125" style="1" customWidth="1"/>
    <col min="6" max="6" width="23" style="1" customWidth="1"/>
    <col min="7" max="16384" width="21.5703125" style="1"/>
  </cols>
  <sheetData>
    <row r="2" spans="1:9" ht="16.5">
      <c r="B2" s="2"/>
      <c r="C2" s="3"/>
    </row>
    <row r="3" spans="1:9">
      <c r="C3" s="4"/>
    </row>
    <row r="4" spans="1:9">
      <c r="B4" s="5"/>
      <c r="C4" s="6"/>
    </row>
    <row r="5" spans="1:9">
      <c r="B5" s="5"/>
      <c r="C5" s="6"/>
    </row>
    <row r="7" spans="1:9">
      <c r="A7" s="7"/>
      <c r="B7" s="7"/>
      <c r="C7" s="7"/>
      <c r="D7" s="7"/>
      <c r="E7" s="7"/>
    </row>
    <row r="8" spans="1:9" ht="15.75" thickBot="1"/>
    <row r="9" spans="1:9">
      <c r="B9" s="8" t="s">
        <v>0</v>
      </c>
      <c r="C9" s="9"/>
      <c r="D9" s="9"/>
      <c r="E9" s="10"/>
      <c r="I9" s="47" t="s">
        <v>45</v>
      </c>
    </row>
    <row r="10" spans="1:9">
      <c r="B10" s="11" t="s">
        <v>1</v>
      </c>
      <c r="C10" s="12" t="s">
        <v>2</v>
      </c>
      <c r="D10" s="14" t="s">
        <v>3</v>
      </c>
      <c r="E10" s="59" t="s">
        <v>4</v>
      </c>
      <c r="F10" s="60">
        <v>0</v>
      </c>
      <c r="G10" s="61" t="s">
        <v>37</v>
      </c>
      <c r="I10" s="14" t="s">
        <v>38</v>
      </c>
    </row>
    <row r="11" spans="1:9">
      <c r="B11" s="11" t="s">
        <v>5</v>
      </c>
      <c r="C11" s="16">
        <v>42738</v>
      </c>
      <c r="D11" s="14" t="s">
        <v>6</v>
      </c>
      <c r="E11" s="59" t="s">
        <v>7</v>
      </c>
      <c r="F11" s="62">
        <v>0.33333333300000001</v>
      </c>
      <c r="G11" s="63" t="s">
        <v>35</v>
      </c>
      <c r="I11" s="14" t="s">
        <v>40</v>
      </c>
    </row>
    <row r="12" spans="1:9">
      <c r="B12" s="11" t="s">
        <v>8</v>
      </c>
      <c r="C12" s="12" t="s">
        <v>9</v>
      </c>
      <c r="D12" s="14" t="s">
        <v>10</v>
      </c>
      <c r="E12" s="59"/>
      <c r="F12" s="64">
        <v>0.66666666666666596</v>
      </c>
      <c r="G12" s="65" t="s">
        <v>36</v>
      </c>
      <c r="I12" s="14" t="s">
        <v>39</v>
      </c>
    </row>
    <row r="13" spans="1:9">
      <c r="B13" s="11" t="s">
        <v>11</v>
      </c>
      <c r="C13" s="12" t="s">
        <v>9</v>
      </c>
      <c r="D13" s="14" t="s">
        <v>12</v>
      </c>
      <c r="E13" s="59">
        <v>1092476751</v>
      </c>
      <c r="F13" s="66" t="s">
        <v>44</v>
      </c>
      <c r="G13" s="67" t="s">
        <v>41</v>
      </c>
    </row>
    <row r="14" spans="1:9">
      <c r="B14" s="11" t="s">
        <v>13</v>
      </c>
      <c r="C14" s="12" t="s">
        <v>14</v>
      </c>
      <c r="D14" s="14" t="s">
        <v>15</v>
      </c>
      <c r="E14" s="36">
        <v>550102780</v>
      </c>
    </row>
    <row r="15" spans="1:9">
      <c r="B15" s="11" t="s">
        <v>16</v>
      </c>
      <c r="C15" s="12" t="s">
        <v>17</v>
      </c>
      <c r="D15" s="14" t="s">
        <v>18</v>
      </c>
      <c r="E15" s="36">
        <v>11081</v>
      </c>
    </row>
    <row r="16" spans="1:9">
      <c r="B16" s="11" t="s">
        <v>19</v>
      </c>
      <c r="C16" s="16">
        <v>44606</v>
      </c>
      <c r="D16" s="14" t="s">
        <v>20</v>
      </c>
      <c r="E16" s="37">
        <v>30</v>
      </c>
    </row>
    <row r="17" spans="2:6" ht="15.75" thickBot="1">
      <c r="B17" s="17" t="s">
        <v>21</v>
      </c>
      <c r="C17" s="18">
        <f>C16-C11+1</f>
        <v>1869</v>
      </c>
      <c r="D17" s="19" t="s">
        <v>42</v>
      </c>
      <c r="E17" s="48">
        <f>C17/365</f>
        <v>5.1205479452054794</v>
      </c>
    </row>
    <row r="18" spans="2:6" hidden="1"/>
    <row r="19" spans="2:6" ht="15.75" thickBot="1"/>
    <row r="20" spans="2:6">
      <c r="B20" s="8" t="s">
        <v>23</v>
      </c>
      <c r="C20" s="9"/>
      <c r="D20" s="9"/>
      <c r="E20" s="10"/>
    </row>
    <row r="21" spans="2:6">
      <c r="B21" s="20" t="s">
        <v>24</v>
      </c>
      <c r="C21" s="51">
        <f>E15</f>
        <v>11081</v>
      </c>
      <c r="D21" s="51"/>
      <c r="E21" s="52" t="s">
        <v>2</v>
      </c>
      <c r="F21" s="53"/>
    </row>
    <row r="22" spans="2:6">
      <c r="B22" s="39" t="s">
        <v>25</v>
      </c>
      <c r="C22" s="54">
        <v>60</v>
      </c>
      <c r="D22" s="54"/>
      <c r="E22" s="55" t="s">
        <v>2</v>
      </c>
      <c r="F22" s="53">
        <f>E15/30*C22</f>
        <v>22162</v>
      </c>
    </row>
    <row r="23" spans="2:6" ht="15.75" thickBot="1">
      <c r="B23" s="23" t="s">
        <v>43</v>
      </c>
      <c r="C23" s="56"/>
      <c r="D23" s="56"/>
      <c r="E23" s="57">
        <f>IF(C17&lt;=1825,(E15*0.5)*E17,((E15*0.5)*5)+(E15*(E17-5)))</f>
        <v>29038.291780821917</v>
      </c>
      <c r="F23" s="58">
        <f>E23*F12</f>
        <v>19358.861187214592</v>
      </c>
    </row>
    <row r="24" spans="2:6" ht="15.75" thickBot="1">
      <c r="B24" s="24" t="s">
        <v>22</v>
      </c>
      <c r="D24" s="25" t="s">
        <v>26</v>
      </c>
      <c r="E24" s="26">
        <f>SUM(E21:E23)</f>
        <v>29038.291780821917</v>
      </c>
    </row>
    <row r="26" spans="2:6">
      <c r="E26" s="50"/>
    </row>
    <row r="27" spans="2:6">
      <c r="E27" s="49"/>
    </row>
  </sheetData>
  <hyperlinks>
    <hyperlink ref="C10" r:id="rId1" display="S_001183" xr:uid="{00000000-0004-0000-0100-000000000000}"/>
  </hyperlinks>
  <pageMargins left="0.7" right="0.7" top="0.75" bottom="0.75" header="0.3" footer="0.3"/>
  <pageSetup paperSize="9" orientation="portrait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2381D-2A05-4E87-B2E4-FAE7B5120CCD}">
  <dimension ref="A3:H23"/>
  <sheetViews>
    <sheetView showGridLines="0" workbookViewId="0">
      <selection activeCell="A18" sqref="A18:D19"/>
    </sheetView>
  </sheetViews>
  <sheetFormatPr defaultColWidth="27.5703125" defaultRowHeight="15"/>
  <cols>
    <col min="1" max="1" width="17.7109375" style="76" customWidth="1"/>
    <col min="2" max="2" width="16.140625" style="76" customWidth="1"/>
    <col min="3" max="3" width="11.140625" style="76" bestFit="1" customWidth="1"/>
    <col min="4" max="4" width="12.42578125" style="76" customWidth="1"/>
    <col min="5" max="6" width="14.140625" style="76" customWidth="1"/>
    <col min="7" max="7" width="19.42578125" style="76" customWidth="1"/>
    <col min="8" max="8" width="20" style="76" customWidth="1"/>
    <col min="9" max="16384" width="27.5703125" style="76"/>
  </cols>
  <sheetData>
    <row r="3" spans="1:8" ht="18.75">
      <c r="B3" s="103"/>
      <c r="C3" s="104" t="s">
        <v>59</v>
      </c>
      <c r="D3" s="104"/>
      <c r="E3" s="103"/>
      <c r="F3" s="97"/>
    </row>
    <row r="7" spans="1:8" ht="18.75" customHeight="1">
      <c r="A7" s="142" t="s">
        <v>45</v>
      </c>
      <c r="B7" s="142"/>
    </row>
    <row r="8" spans="1:8">
      <c r="A8" s="135" t="s">
        <v>38</v>
      </c>
      <c r="B8" s="135"/>
    </row>
    <row r="9" spans="1:8">
      <c r="A9" s="135" t="s">
        <v>40</v>
      </c>
      <c r="B9" s="135"/>
    </row>
    <row r="10" spans="1:8">
      <c r="A10" s="135" t="s">
        <v>39</v>
      </c>
      <c r="B10" s="135"/>
    </row>
    <row r="12" spans="1:8">
      <c r="A12" s="142" t="s">
        <v>46</v>
      </c>
      <c r="B12" s="142"/>
      <c r="C12" s="142"/>
      <c r="D12" s="142"/>
      <c r="E12" s="68">
        <v>0</v>
      </c>
      <c r="F12" s="69" t="s">
        <v>37</v>
      </c>
      <c r="G12" s="1"/>
    </row>
    <row r="13" spans="1:8">
      <c r="A13" s="78" t="s">
        <v>5</v>
      </c>
      <c r="B13" s="79">
        <v>44909</v>
      </c>
      <c r="C13" s="78" t="s">
        <v>18</v>
      </c>
      <c r="D13" s="98">
        <v>7000</v>
      </c>
      <c r="E13" s="70">
        <v>0.33333333300000001</v>
      </c>
      <c r="F13" s="71" t="s">
        <v>35</v>
      </c>
      <c r="G13" s="105">
        <f>D20*E13</f>
        <v>5833.3333275000005</v>
      </c>
    </row>
    <row r="14" spans="1:8" ht="24.75">
      <c r="A14" s="78" t="s">
        <v>19</v>
      </c>
      <c r="B14" s="79">
        <v>44926</v>
      </c>
      <c r="C14" s="78" t="s">
        <v>20</v>
      </c>
      <c r="D14" s="99" t="s">
        <v>2</v>
      </c>
      <c r="E14" s="72">
        <v>0.66666666666666596</v>
      </c>
      <c r="F14" s="73" t="s">
        <v>36</v>
      </c>
      <c r="G14" s="106">
        <f>D20*E14</f>
        <v>11666.666666666655</v>
      </c>
    </row>
    <row r="15" spans="1:8">
      <c r="A15" s="78" t="s">
        <v>21</v>
      </c>
      <c r="B15" s="100">
        <v>1825</v>
      </c>
      <c r="C15" s="101" t="s">
        <v>42</v>
      </c>
      <c r="D15" s="102">
        <f>B15/365</f>
        <v>5</v>
      </c>
      <c r="E15" s="74" t="s">
        <v>44</v>
      </c>
      <c r="F15" s="75" t="s">
        <v>41</v>
      </c>
      <c r="G15" s="107">
        <f>IF(B15&lt;=1825,(D13*0.5)*D15,((D13*0.5)*5)+(D13*(D15-5)))</f>
        <v>17500</v>
      </c>
    </row>
    <row r="16" spans="1:8">
      <c r="A16" s="1"/>
      <c r="B16" s="1"/>
      <c r="C16" s="1"/>
      <c r="D16" s="1"/>
      <c r="E16" s="1"/>
      <c r="F16" s="1"/>
      <c r="G16" s="1"/>
      <c r="H16" s="1"/>
    </row>
    <row r="17" spans="1:8" ht="15.75" thickBot="1">
      <c r="A17" s="1"/>
      <c r="B17" s="1"/>
      <c r="C17" s="1"/>
      <c r="D17" s="1"/>
      <c r="E17" s="1"/>
      <c r="F17" s="1"/>
      <c r="G17" s="1"/>
      <c r="H17" s="1"/>
    </row>
    <row r="18" spans="1:8">
      <c r="A18" s="139" t="s">
        <v>23</v>
      </c>
      <c r="B18" s="140"/>
      <c r="C18" s="140"/>
      <c r="D18" s="141"/>
      <c r="E18" s="1"/>
      <c r="F18" s="1"/>
      <c r="G18" s="1"/>
      <c r="H18" s="1"/>
    </row>
    <row r="19" spans="1:8">
      <c r="A19" s="80" t="s">
        <v>25</v>
      </c>
      <c r="B19" s="81">
        <v>18</v>
      </c>
      <c r="C19" s="81" t="s">
        <v>2</v>
      </c>
      <c r="D19" s="82">
        <f>D13/30*B19</f>
        <v>4200</v>
      </c>
      <c r="E19" s="91" t="s">
        <v>36</v>
      </c>
      <c r="F19" s="71" t="s">
        <v>35</v>
      </c>
    </row>
    <row r="20" spans="1:8" ht="15.75" thickBot="1">
      <c r="A20" s="84" t="s">
        <v>43</v>
      </c>
      <c r="B20" s="85" t="s">
        <v>2</v>
      </c>
      <c r="C20" s="85" t="s">
        <v>2</v>
      </c>
      <c r="D20" s="83">
        <f>IF(B15&lt;=1825,(D13*0.5)*D15,((D13*0.5)*5)+(D13*(D15-5)))</f>
        <v>17500</v>
      </c>
      <c r="E20" s="92">
        <f>D20*E14</f>
        <v>11666.666666666655</v>
      </c>
      <c r="F20" s="90">
        <f>D20*E13</f>
        <v>5833.3333275000005</v>
      </c>
    </row>
    <row r="21" spans="1:8" ht="15.75" thickBot="1">
      <c r="A21" s="86" t="s">
        <v>22</v>
      </c>
      <c r="B21" s="1"/>
      <c r="C21" s="87" t="s">
        <v>26</v>
      </c>
      <c r="D21" s="88">
        <f>SUM(D19:D20)</f>
        <v>21700</v>
      </c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F23" s="1"/>
      <c r="G23" s="1"/>
      <c r="H23" s="1"/>
    </row>
  </sheetData>
  <mergeCells count="6">
    <mergeCell ref="A18:D18"/>
    <mergeCell ref="A12:D12"/>
    <mergeCell ref="A7:B7"/>
    <mergeCell ref="A8:B8"/>
    <mergeCell ref="A9:B9"/>
    <mergeCell ref="A10:B10"/>
  </mergeCells>
  <pageMargins left="0.7" right="0.7" top="0.75" bottom="0.75" header="0.3" footer="0.3"/>
  <pageSetup paperSize="9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303A1-49B1-4374-845A-256513967B36}">
  <dimension ref="C2:I28"/>
  <sheetViews>
    <sheetView showGridLines="0" showRowColHeaders="0" tabSelected="1" workbookViewId="0">
      <selection activeCell="D14" sqref="D14"/>
    </sheetView>
  </sheetViews>
  <sheetFormatPr defaultRowHeight="15"/>
  <cols>
    <col min="3" max="3" width="15.5703125" customWidth="1"/>
    <col min="4" max="4" width="12.7109375" customWidth="1"/>
    <col min="5" max="5" width="15.5703125" customWidth="1"/>
    <col min="6" max="10" width="18.140625" customWidth="1"/>
  </cols>
  <sheetData>
    <row r="2" spans="3:9">
      <c r="C2" s="76"/>
      <c r="D2" s="76"/>
      <c r="E2" s="76"/>
      <c r="F2" s="76"/>
      <c r="G2" s="76"/>
      <c r="H2" s="76"/>
      <c r="I2" s="76"/>
    </row>
    <row r="3" spans="3:9" ht="18.75">
      <c r="C3" s="76"/>
      <c r="D3" s="110" t="s">
        <v>58</v>
      </c>
      <c r="F3" s="109"/>
      <c r="G3" s="103"/>
      <c r="H3" s="97"/>
      <c r="I3" s="76"/>
    </row>
    <row r="4" spans="3:9">
      <c r="C4" s="76"/>
      <c r="D4" s="76"/>
      <c r="E4" s="76"/>
      <c r="F4" s="76"/>
      <c r="G4" s="76"/>
      <c r="H4" s="76"/>
      <c r="I4" s="76"/>
    </row>
    <row r="5" spans="3:9">
      <c r="C5" s="76"/>
      <c r="D5" s="76"/>
      <c r="E5" s="76"/>
      <c r="F5" s="76"/>
      <c r="G5" s="76"/>
      <c r="H5" s="76"/>
      <c r="I5" s="76"/>
    </row>
    <row r="6" spans="3:9">
      <c r="C6" s="76"/>
      <c r="D6" s="76"/>
      <c r="E6" s="76"/>
      <c r="F6" s="76"/>
      <c r="G6" s="76"/>
      <c r="H6" s="76"/>
      <c r="I6" s="76"/>
    </row>
    <row r="7" spans="3:9">
      <c r="C7" s="134" t="s">
        <v>45</v>
      </c>
      <c r="D7" s="134"/>
      <c r="E7" s="137"/>
      <c r="F7" s="138"/>
      <c r="G7" s="76"/>
      <c r="H7" s="76"/>
      <c r="I7" s="76"/>
    </row>
    <row r="8" spans="3:9">
      <c r="C8" s="135" t="s">
        <v>38</v>
      </c>
      <c r="D8" s="135"/>
      <c r="E8" s="137"/>
      <c r="F8" s="138"/>
      <c r="G8" s="76"/>
      <c r="H8" s="76"/>
      <c r="I8" s="76"/>
    </row>
    <row r="9" spans="3:9">
      <c r="C9" s="135" t="s">
        <v>40</v>
      </c>
      <c r="D9" s="135"/>
      <c r="E9" s="137"/>
      <c r="F9" s="138"/>
      <c r="G9" s="76"/>
      <c r="H9" s="76"/>
      <c r="I9" s="76"/>
    </row>
    <row r="10" spans="3:9">
      <c r="C10" s="135" t="s">
        <v>61</v>
      </c>
      <c r="D10" s="135"/>
      <c r="E10" s="137"/>
      <c r="F10" s="138"/>
      <c r="G10" s="76"/>
      <c r="H10" s="76"/>
      <c r="I10" s="76"/>
    </row>
    <row r="11" spans="3:9">
      <c r="C11" s="76"/>
      <c r="D11" s="76"/>
      <c r="E11" s="76"/>
      <c r="F11" s="76"/>
      <c r="G11" s="76"/>
      <c r="H11" s="76"/>
      <c r="I11" s="76"/>
    </row>
    <row r="12" spans="3:9" ht="22.5" customHeight="1">
      <c r="C12" s="136" t="s">
        <v>46</v>
      </c>
      <c r="D12" s="136"/>
      <c r="E12" s="136"/>
      <c r="F12" s="136"/>
      <c r="G12" s="128" t="s">
        <v>62</v>
      </c>
      <c r="H12" s="111" t="s">
        <v>37</v>
      </c>
      <c r="I12" s="112" t="s">
        <v>2</v>
      </c>
    </row>
    <row r="13" spans="3:9" ht="30" customHeight="1">
      <c r="C13" s="14" t="s">
        <v>5</v>
      </c>
      <c r="D13" s="16">
        <v>44866</v>
      </c>
      <c r="E13" s="14" t="s">
        <v>18</v>
      </c>
      <c r="F13" s="113">
        <v>10425</v>
      </c>
      <c r="G13" s="114">
        <v>0.33333333300000001</v>
      </c>
      <c r="H13" s="115" t="s">
        <v>35</v>
      </c>
      <c r="I13" s="116">
        <f>I15*G13</f>
        <v>6854.7945136931503</v>
      </c>
    </row>
    <row r="14" spans="3:9" ht="30" customHeight="1">
      <c r="C14" s="14" t="s">
        <v>19</v>
      </c>
      <c r="D14" s="16">
        <v>46305</v>
      </c>
      <c r="E14" s="14" t="s">
        <v>20</v>
      </c>
      <c r="F14" s="117" t="s">
        <v>2</v>
      </c>
      <c r="G14" s="118">
        <v>0.66666666666666596</v>
      </c>
      <c r="H14" s="119" t="s">
        <v>36</v>
      </c>
      <c r="I14" s="120">
        <f>I15*G14</f>
        <v>13709.589041095875</v>
      </c>
    </row>
    <row r="15" spans="3:9" ht="30" customHeight="1">
      <c r="C15" s="14" t="s">
        <v>21</v>
      </c>
      <c r="D15" s="127">
        <f>D14-D13+1</f>
        <v>1440</v>
      </c>
      <c r="E15" s="12" t="s">
        <v>42</v>
      </c>
      <c r="F15" s="121">
        <f>D15/365</f>
        <v>3.9452054794520546</v>
      </c>
      <c r="G15" s="122" t="s">
        <v>44</v>
      </c>
      <c r="H15" s="123" t="s">
        <v>41</v>
      </c>
      <c r="I15" s="124">
        <f>IF(D15&lt;=1825,(F13*0.5)*F15,((F13*0.5)*5)+(F13*(F15-5)))</f>
        <v>20564.383561643834</v>
      </c>
    </row>
    <row r="18" spans="3:9" ht="18.75" customHeight="1">
      <c r="C18" s="131" t="s">
        <v>60</v>
      </c>
      <c r="D18" s="132"/>
      <c r="E18" s="133"/>
    </row>
    <row r="19" spans="3:9" ht="18.75" customHeight="1">
      <c r="C19" s="125" t="s">
        <v>51</v>
      </c>
      <c r="D19" s="126">
        <v>27.41</v>
      </c>
      <c r="E19" s="113">
        <f>F13/30*D19</f>
        <v>9524.9750000000004</v>
      </c>
    </row>
    <row r="20" spans="3:9">
      <c r="C20" t="s">
        <v>26</v>
      </c>
      <c r="D20" s="129">
        <f>E19+I15</f>
        <v>30089.358561643836</v>
      </c>
    </row>
    <row r="21" spans="3:9">
      <c r="F21" s="129"/>
      <c r="G21">
        <f>F13*2</f>
        <v>20850</v>
      </c>
    </row>
    <row r="24" spans="3:9" ht="26.25">
      <c r="E24" s="130"/>
      <c r="G24" s="129">
        <f>G21+D20</f>
        <v>50939.358561643836</v>
      </c>
      <c r="H24" s="129"/>
    </row>
    <row r="26" spans="3:9">
      <c r="H26" s="129"/>
      <c r="I26" s="129"/>
    </row>
    <row r="28" spans="3:9" ht="26.25">
      <c r="D28" s="108"/>
    </row>
  </sheetData>
  <mergeCells count="7">
    <mergeCell ref="C18:E18"/>
    <mergeCell ref="C7:D7"/>
    <mergeCell ref="C8:D8"/>
    <mergeCell ref="C9:D9"/>
    <mergeCell ref="C10:D10"/>
    <mergeCell ref="C12:F12"/>
    <mergeCell ref="E7:F10"/>
  </mergeCells>
  <pageMargins left="0.7" right="0.7" top="0.75" bottom="0.75" header="0.3" footer="0.3"/>
  <pageSetup paperSize="9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F8533-E0C2-4DE3-AACB-9A098862A62D}">
  <dimension ref="A1"/>
  <sheetViews>
    <sheetView showGridLines="0" workbookViewId="0">
      <selection sqref="A1:XFD1048576"/>
    </sheetView>
  </sheetViews>
  <sheetFormatPr defaultColWidth="9" defaultRowHeight="15"/>
  <cols>
    <col min="1" max="16384" width="9" style="96"/>
  </cols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3F0ED-985B-429D-A4D4-61AC219A3EB3}">
  <dimension ref="A4:M12"/>
  <sheetViews>
    <sheetView workbookViewId="0">
      <selection activeCell="C28" sqref="C28"/>
    </sheetView>
  </sheetViews>
  <sheetFormatPr defaultColWidth="16.5703125" defaultRowHeight="15"/>
  <sheetData>
    <row r="4" spans="1:13" s="76" customFormat="1" ht="19.5" thickBot="1">
      <c r="A4" s="143" t="s">
        <v>55</v>
      </c>
      <c r="B4" s="143"/>
      <c r="C4" s="143"/>
      <c r="D4" s="143"/>
      <c r="E4" s="93"/>
    </row>
    <row r="5" spans="1:13" s="76" customFormat="1" ht="29.25" customHeight="1">
      <c r="A5" s="77" t="s">
        <v>48</v>
      </c>
      <c r="B5" s="77" t="s">
        <v>49</v>
      </c>
      <c r="C5" s="77" t="s">
        <v>54</v>
      </c>
      <c r="D5" s="77" t="s">
        <v>56</v>
      </c>
      <c r="E5" s="77" t="s">
        <v>57</v>
      </c>
      <c r="L5" s="1"/>
      <c r="M5" s="1"/>
    </row>
    <row r="6" spans="1:13" s="76" customFormat="1">
      <c r="A6" s="89">
        <v>3922</v>
      </c>
      <c r="B6" s="89">
        <f>A6*25%</f>
        <v>980.5</v>
      </c>
      <c r="C6" s="89">
        <f>A6*10%</f>
        <v>392.20000000000005</v>
      </c>
      <c r="D6" s="89">
        <v>1300</v>
      </c>
      <c r="E6" s="89">
        <f>SUM(A6:D6)</f>
        <v>6594.7</v>
      </c>
      <c r="G6" s="94"/>
      <c r="H6" s="94"/>
      <c r="K6" s="95"/>
    </row>
    <row r="7" spans="1:13" s="76" customFormat="1"/>
    <row r="8" spans="1:13" s="76" customFormat="1"/>
    <row r="9" spans="1:13" s="76" customFormat="1"/>
    <row r="10" spans="1:13" s="76" customFormat="1" ht="19.5" thickBot="1">
      <c r="A10" s="143" t="s">
        <v>47</v>
      </c>
      <c r="B10" s="143"/>
      <c r="C10" s="143"/>
      <c r="D10" s="143"/>
    </row>
    <row r="11" spans="1:13" s="76" customFormat="1" ht="30">
      <c r="A11" s="77" t="s">
        <v>52</v>
      </c>
      <c r="B11" s="77" t="s">
        <v>53</v>
      </c>
      <c r="C11" s="77" t="s">
        <v>51</v>
      </c>
      <c r="D11" s="77" t="s">
        <v>50</v>
      </c>
      <c r="E11" s="94"/>
      <c r="F11" s="94"/>
    </row>
    <row r="12" spans="1:13" s="76" customFormat="1">
      <c r="A12" s="89">
        <f>B6+A6</f>
        <v>4902.5</v>
      </c>
      <c r="B12" s="89">
        <f>A12*9.75%</f>
        <v>477.99375000000003</v>
      </c>
      <c r="C12" s="89">
        <v>23</v>
      </c>
      <c r="D12" s="89">
        <f>B12/30*C12</f>
        <v>366.46187500000002</v>
      </c>
    </row>
  </sheetData>
  <mergeCells count="2">
    <mergeCell ref="A4:D4"/>
    <mergeCell ref="A10:D1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نموذج يدوي</vt:lpstr>
      <vt:lpstr>نهاية الخدمة</vt:lpstr>
      <vt:lpstr>EOS C</vt:lpstr>
      <vt:lpstr>New</vt:lpstr>
      <vt:lpstr>Sheet1</vt:lpstr>
      <vt:lpstr>Gosi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faldosari</dc:creator>
  <cp:lastModifiedBy>FAHAD ALRASHEEDI</cp:lastModifiedBy>
  <dcterms:created xsi:type="dcterms:W3CDTF">2020-06-23T11:48:21Z</dcterms:created>
  <dcterms:modified xsi:type="dcterms:W3CDTF">2026-08-17T17:17:50Z</dcterms:modified>
</cp:coreProperties>
</file>